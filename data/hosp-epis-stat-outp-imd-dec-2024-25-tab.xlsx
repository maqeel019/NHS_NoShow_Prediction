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0230"/>
  </bookViews>
  <sheets>
    <sheet name="IMD Decile" sheetId="1" r:id="rId1"/>
  </sheets>
  <calcPr calcId="144525"/>
</workbook>
</file>

<file path=xl/sharedStrings.xml><?xml version="1.0" encoding="utf-8"?>
<sst xmlns="http://schemas.openxmlformats.org/spreadsheetml/2006/main" count="20" uniqueCount="20">
  <si>
    <t>Index of Multiple Deprivation Decile</t>
  </si>
  <si>
    <t>All Attendances </t>
  </si>
  <si>
    <t>Attended first appointment </t>
  </si>
  <si>
    <t>Attended first tele consultation </t>
  </si>
  <si>
    <t>Attended subsequent appointment </t>
  </si>
  <si>
    <t>Attended subsequent tele consultation </t>
  </si>
  <si>
    <r>
      <rPr>
        <b/>
        <sz val="10"/>
        <color indexed="8"/>
        <rFont val="Arial"/>
        <charset val="134"/>
      </rPr>
      <t>Attended but first / subsequent / tele unknown</t>
    </r>
    <r>
      <rPr>
        <b/>
        <vertAlign val="superscript"/>
        <sz val="10"/>
        <color rgb="FF000000"/>
        <rFont val="Arial"/>
        <charset val="134"/>
      </rPr>
      <t>1</t>
    </r>
  </si>
  <si>
    <t>Percentage of all attendances</t>
  </si>
  <si>
    <t>Total Activity</t>
  </si>
  <si>
    <t>Most deprived 10%</t>
  </si>
  <si>
    <t>More deprived 10-20%</t>
  </si>
  <si>
    <t>More deprived 20-30%</t>
  </si>
  <si>
    <t>More deprived 30-40%</t>
  </si>
  <si>
    <t>More deprived 40-50%</t>
  </si>
  <si>
    <t>Less deprived 40-50%</t>
  </si>
  <si>
    <t>Less deprived 30-40%</t>
  </si>
  <si>
    <t>Less deprived 20-30%</t>
  </si>
  <si>
    <t>Less deprived 10-20%</t>
  </si>
  <si>
    <t>Least deprived 10%</t>
  </si>
  <si>
    <t>Unknown/Non-UK Country</t>
  </si>
</sst>
</file>

<file path=xl/styles.xml><?xml version="1.0" encoding="utf-8"?>
<styleSheet xmlns="http://schemas.openxmlformats.org/spreadsheetml/2006/main">
  <numFmts count="7">
    <numFmt numFmtId="176" formatCode="0.0%"/>
    <numFmt numFmtId="177" formatCode="_ * #,##0.00_ ;_ * \-#,##0.00_ ;_ * &quot;-&quot;??_ ;_ @_ "/>
    <numFmt numFmtId="178" formatCode="_-* #,##0.00_-;\-* #,##0.00_-;_-* &quot;-&quot;??_-;_-@_-"/>
    <numFmt numFmtId="42" formatCode="_(&quot;$&quot;* #,##0_);_(&quot;$&quot;* \(#,##0\);_(&quot;$&quot;* &quot;-&quot;_);_(@_)"/>
    <numFmt numFmtId="179" formatCode="_ * #,##0_ ;_ * \-#,##0_ ;_ * &quot;-&quot;_ ;_ @_ "/>
    <numFmt numFmtId="180" formatCode="[$-10409]#,##0;\-#,##0"/>
    <numFmt numFmtId="44" formatCode="_(&quot;$&quot;* #,##0.00_);_(&quot;$&quot;* \(#,##0.00\);_(&quot;$&quot;* &quot;-&quot;??_);_(@_)"/>
  </numFmts>
  <fonts count="28">
    <font>
      <sz val="10"/>
      <name val="Arial"/>
      <charset val="134"/>
    </font>
    <font>
      <b/>
      <sz val="10"/>
      <name val="Arial"/>
      <charset val="134"/>
    </font>
    <font>
      <b/>
      <sz val="10"/>
      <color indexed="8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indexed="8"/>
      <name val="Arial"/>
      <charset val="134"/>
    </font>
    <font>
      <vertAlign val="superscript"/>
      <sz val="10"/>
      <name val="Arial"/>
      <charset val="134"/>
    </font>
    <font>
      <u/>
      <sz val="10"/>
      <color theme="10"/>
      <name val="Arial"/>
      <charset val="134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vertAlign val="superscript"/>
      <sz val="10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/>
    <xf numFmtId="0" fontId="15" fillId="0" borderId="0"/>
    <xf numFmtId="178" fontId="0" fillId="0" borderId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18" fillId="7" borderId="24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5" fillId="20" borderId="28" applyNumberFormat="0" applyFont="0" applyAlignment="0" applyProtection="0">
      <alignment vertical="center"/>
    </xf>
    <xf numFmtId="0" fontId="13" fillId="5" borderId="2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7" borderId="22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0" fontId="8" fillId="2" borderId="21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1" xfId="0" applyFont="1" applyBorder="1" applyAlignment="1" applyProtection="1">
      <alignment vertical="center" wrapText="1" readingOrder="1"/>
      <protection locked="0"/>
    </xf>
    <xf numFmtId="0" fontId="2" fillId="0" borderId="2" xfId="0" applyFont="1" applyBorder="1" applyAlignment="1" applyProtection="1">
      <alignment horizontal="center" vertical="center" wrapText="1" readingOrder="1"/>
      <protection locked="0"/>
    </xf>
    <xf numFmtId="0" fontId="2" fillId="0" borderId="3" xfId="0" applyFont="1" applyBorder="1" applyAlignment="1" applyProtection="1">
      <alignment horizontal="center" vertical="center" wrapText="1" readingOrder="1"/>
      <protection locked="0"/>
    </xf>
    <xf numFmtId="49" fontId="3" fillId="0" borderId="4" xfId="1" applyNumberFormat="1" applyFont="1" applyBorder="1"/>
    <xf numFmtId="180" fontId="2" fillId="0" borderId="5" xfId="0" applyNumberFormat="1" applyFont="1" applyBorder="1" applyAlignment="1" applyProtection="1">
      <alignment horizontal="right" vertical="top" wrapText="1" readingOrder="1"/>
      <protection locked="0"/>
    </xf>
    <xf numFmtId="180" fontId="2" fillId="0" borderId="6" xfId="0" applyNumberFormat="1" applyFont="1" applyBorder="1" applyAlignment="1" applyProtection="1">
      <alignment horizontal="right" vertical="top" wrapText="1" readingOrder="1"/>
      <protection locked="0"/>
    </xf>
    <xf numFmtId="49" fontId="4" fillId="0" borderId="7" xfId="1" applyNumberFormat="1" applyFont="1" applyBorder="1"/>
    <xf numFmtId="180" fontId="5" fillId="0" borderId="8" xfId="0" applyNumberFormat="1" applyFont="1" applyBorder="1" applyAlignment="1" applyProtection="1">
      <alignment horizontal="right" vertical="top" wrapText="1" readingOrder="1"/>
      <protection locked="0"/>
    </xf>
    <xf numFmtId="180" fontId="5" fillId="0" borderId="9" xfId="0" applyNumberFormat="1" applyFont="1" applyBorder="1" applyAlignment="1" applyProtection="1">
      <alignment horizontal="right" vertical="top" wrapText="1" readingOrder="1"/>
      <protection locked="0"/>
    </xf>
    <xf numFmtId="49" fontId="4" fillId="0" borderId="10" xfId="1" applyNumberFormat="1" applyFont="1" applyBorder="1"/>
    <xf numFmtId="180" fontId="5" fillId="0" borderId="11" xfId="0" applyNumberFormat="1" applyFont="1" applyBorder="1" applyAlignment="1" applyProtection="1">
      <alignment horizontal="right" vertical="top" wrapText="1" readingOrder="1"/>
      <protection locked="0"/>
    </xf>
    <xf numFmtId="180" fontId="5" fillId="0" borderId="12" xfId="0" applyNumberFormat="1" applyFont="1" applyBorder="1" applyAlignment="1" applyProtection="1">
      <alignment horizontal="right" vertical="top" wrapText="1" readingOrder="1"/>
      <protection locked="0"/>
    </xf>
    <xf numFmtId="180" fontId="5" fillId="0" borderId="13" xfId="0" applyNumberFormat="1" applyFont="1" applyBorder="1" applyAlignment="1" applyProtection="1">
      <alignment horizontal="right" vertical="top" wrapText="1" readingOrder="1"/>
      <protection locked="0"/>
    </xf>
    <xf numFmtId="49" fontId="4" fillId="0" borderId="14" xfId="1" applyNumberFormat="1" applyFont="1" applyBorder="1"/>
    <xf numFmtId="180" fontId="5" fillId="0" borderId="15" xfId="0" applyNumberFormat="1" applyFont="1" applyBorder="1" applyAlignment="1" applyProtection="1">
      <alignment horizontal="right" vertical="top" wrapText="1" readingOrder="1"/>
      <protection locked="0"/>
    </xf>
    <xf numFmtId="0" fontId="6" fillId="0" borderId="0" xfId="0" applyFont="1"/>
    <xf numFmtId="0" fontId="2" fillId="0" borderId="16" xfId="0" applyFont="1" applyBorder="1" applyAlignment="1" applyProtection="1">
      <alignment horizontal="center" vertical="center" wrapText="1" readingOrder="1"/>
      <protection locked="0"/>
    </xf>
    <xf numFmtId="176" fontId="2" fillId="0" borderId="17" xfId="0" applyNumberFormat="1" applyFont="1" applyBorder="1" applyAlignment="1" applyProtection="1">
      <alignment horizontal="right" vertical="top" wrapText="1" readingOrder="1"/>
      <protection locked="0"/>
    </xf>
    <xf numFmtId="176" fontId="5" fillId="0" borderId="18" xfId="0" applyNumberFormat="1" applyFont="1" applyBorder="1" applyAlignment="1" applyProtection="1">
      <alignment horizontal="right" vertical="top" wrapText="1" readingOrder="1"/>
      <protection locked="0"/>
    </xf>
    <xf numFmtId="176" fontId="5" fillId="0" borderId="19" xfId="0" applyNumberFormat="1" applyFont="1" applyBorder="1" applyAlignment="1" applyProtection="1">
      <alignment horizontal="right" vertical="top" wrapText="1" readingOrder="1"/>
      <protection locked="0"/>
    </xf>
    <xf numFmtId="176" fontId="5" fillId="0" borderId="20" xfId="0" applyNumberFormat="1" applyFont="1" applyBorder="1" applyAlignment="1" applyProtection="1">
      <alignment horizontal="right" vertical="top" wrapText="1" readingOrder="1"/>
      <protection locked="0"/>
    </xf>
  </cellXfs>
  <cellStyles count="51">
    <cellStyle name="Normal" xfId="0" builtinId="0"/>
    <cellStyle name="Normal 2" xfId="1"/>
    <cellStyle name="Comma 2" xfId="2"/>
    <cellStyle name="60% - Accent6" xfId="3" builtinId="52"/>
    <cellStyle name="40% - Accent6" xfId="4" builtinId="51"/>
    <cellStyle name="60% - Accent5" xfId="5" builtinId="48"/>
    <cellStyle name="Accent6" xfId="6" builtinId="49"/>
    <cellStyle name="40% - Accent5" xfId="7" builtinId="47"/>
    <cellStyle name="20% - Accent5" xfId="8" builtinId="46"/>
    <cellStyle name="60% - Accent4" xfId="9" builtinId="44"/>
    <cellStyle name="Accent5" xfId="10" builtinId="45"/>
    <cellStyle name="40% - Accent4" xfId="11" builtinId="43"/>
    <cellStyle name="Accent4" xfId="12" builtinId="41"/>
    <cellStyle name="Linked Cell" xfId="13" builtinId="24"/>
    <cellStyle name="40% - Accent3" xfId="14" builtinId="39"/>
    <cellStyle name="60% - Accent2" xfId="15" builtinId="36"/>
    <cellStyle name="Accent3" xfId="16" builtinId="37"/>
    <cellStyle name="40% - Accent2" xfId="17" builtinId="35"/>
    <cellStyle name="20% - Accent2" xfId="18" builtinId="34"/>
    <cellStyle name="Accent2" xfId="19" builtinId="33"/>
    <cellStyle name="40% - Accent1" xfId="20" builtinId="31"/>
    <cellStyle name="20% - Accent1" xfId="21" builtinId="30"/>
    <cellStyle name="Accent1" xfId="22" builtinId="29"/>
    <cellStyle name="Neutral" xfId="23" builtinId="28"/>
    <cellStyle name="60% - Accent1" xfId="24" builtinId="32"/>
    <cellStyle name="Bad" xfId="25" builtinId="27"/>
    <cellStyle name="20% - Accent4" xfId="26" builtinId="42"/>
    <cellStyle name="Total" xfId="27" builtinId="25"/>
    <cellStyle name="Output" xfId="28" builtinId="21"/>
    <cellStyle name="Currency" xfId="29" builtinId="4"/>
    <cellStyle name="20% - Accent3" xfId="30" builtinId="38"/>
    <cellStyle name="Note" xfId="31" builtinId="10"/>
    <cellStyle name="Input" xfId="32" builtinId="20"/>
    <cellStyle name="Heading 4" xfId="33" builtinId="19"/>
    <cellStyle name="Calculation" xfId="34" builtinId="22"/>
    <cellStyle name="Good" xfId="35" builtinId="26"/>
    <cellStyle name="Heading 3" xfId="36" builtinId="18"/>
    <cellStyle name="CExplanatory Text" xfId="37" builtinId="53"/>
    <cellStyle name="Heading 1" xfId="38" builtinId="16"/>
    <cellStyle name="Comma [0]" xfId="39" builtinId="6"/>
    <cellStyle name="20% - Accent6" xfId="40" builtinId="50"/>
    <cellStyle name="Title" xfId="41" builtinId="15"/>
    <cellStyle name="Currency [0]" xfId="42" builtinId="7"/>
    <cellStyle name="Warning Text" xfId="43" builtinId="11"/>
    <cellStyle name="Followed Hyperlink" xfId="44" builtinId="9"/>
    <cellStyle name="Heading 2" xfId="45" builtinId="17"/>
    <cellStyle name="Comma" xfId="46" builtinId="3"/>
    <cellStyle name="Check Cell" xfId="47" builtinId="23"/>
    <cellStyle name="60% - Accent3" xfId="48" builtinId="40"/>
    <cellStyle name="Percent" xfId="49" builtinId="5"/>
    <cellStyle name="Hyperlink" xfId="50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3360"/>
      <rgbColor rgb="000000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showGridLines="0" tabSelected="1" workbookViewId="0">
      <selection activeCell="D14" sqref="D14"/>
    </sheetView>
  </sheetViews>
  <sheetFormatPr defaultColWidth="9" defaultRowHeight="12.75"/>
  <cols>
    <col min="1" max="1" width="38.7238095238095" customWidth="1"/>
    <col min="2" max="8" width="15.7238095238095" customWidth="1"/>
    <col min="9" max="50" width="11.4571428571429" customWidth="1"/>
    <col min="51" max="53" width="9.26666666666667" customWidth="1"/>
  </cols>
  <sheetData>
    <row r="1" s="1" customFormat="1" ht="51.75" spans="1:8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9" t="s">
        <v>7</v>
      </c>
    </row>
    <row r="2" s="2" customFormat="1" ht="15" customHeight="1" spans="1:9">
      <c r="A2" s="6" t="s">
        <v>8</v>
      </c>
      <c r="B2" s="7">
        <f>SUM(B3:B13)</f>
        <v>113225153</v>
      </c>
      <c r="C2" s="8">
        <f t="shared" ref="C2:G2" si="0">SUM(C3:C13)</f>
        <v>32380319</v>
      </c>
      <c r="D2" s="8">
        <f t="shared" si="0"/>
        <v>5036934</v>
      </c>
      <c r="E2" s="8">
        <f t="shared" si="0"/>
        <v>61066503</v>
      </c>
      <c r="F2" s="8">
        <f t="shared" si="0"/>
        <v>14725395</v>
      </c>
      <c r="G2" s="8">
        <f t="shared" si="0"/>
        <v>16002</v>
      </c>
      <c r="H2" s="20">
        <v>1</v>
      </c>
      <c r="I2" s="1"/>
    </row>
    <row r="3" s="1" customFormat="1" customHeight="1" spans="1:8">
      <c r="A3" s="9" t="s">
        <v>9</v>
      </c>
      <c r="B3" s="10">
        <v>10929927</v>
      </c>
      <c r="C3" s="11">
        <v>3056186</v>
      </c>
      <c r="D3" s="11">
        <v>482617</v>
      </c>
      <c r="E3" s="11">
        <v>6078036</v>
      </c>
      <c r="F3" s="11">
        <v>1311766</v>
      </c>
      <c r="G3" s="11">
        <v>1322</v>
      </c>
      <c r="H3" s="21">
        <v>0.097</v>
      </c>
    </row>
    <row r="4" s="1" customFormat="1" customHeight="1" spans="1:8">
      <c r="A4" s="12" t="s">
        <v>10</v>
      </c>
      <c r="B4" s="13">
        <v>11242959</v>
      </c>
      <c r="C4" s="14">
        <v>3268125</v>
      </c>
      <c r="D4" s="14">
        <v>485701</v>
      </c>
      <c r="E4" s="14">
        <v>6112712</v>
      </c>
      <c r="F4" s="14">
        <v>1373834</v>
      </c>
      <c r="G4" s="14">
        <v>2587</v>
      </c>
      <c r="H4" s="22">
        <v>0.099</v>
      </c>
    </row>
    <row r="5" s="1" customFormat="1" customHeight="1" spans="1:8">
      <c r="A5" s="12" t="s">
        <v>11</v>
      </c>
      <c r="B5" s="13">
        <v>11354423</v>
      </c>
      <c r="C5" s="14">
        <v>3255661</v>
      </c>
      <c r="D5" s="14">
        <v>496203</v>
      </c>
      <c r="E5" s="14">
        <v>6174192</v>
      </c>
      <c r="F5" s="14">
        <v>1425983</v>
      </c>
      <c r="G5" s="14">
        <v>2384</v>
      </c>
      <c r="H5" s="22">
        <v>0.1</v>
      </c>
    </row>
    <row r="6" s="1" customFormat="1" customHeight="1" spans="1:8">
      <c r="A6" s="12" t="s">
        <v>12</v>
      </c>
      <c r="B6" s="13">
        <v>11294332</v>
      </c>
      <c r="C6" s="14">
        <v>3247341</v>
      </c>
      <c r="D6" s="14">
        <v>501685</v>
      </c>
      <c r="E6" s="14">
        <v>6080223</v>
      </c>
      <c r="F6" s="14">
        <v>1463098</v>
      </c>
      <c r="G6" s="14">
        <v>1985</v>
      </c>
      <c r="H6" s="22">
        <v>0.1</v>
      </c>
    </row>
    <row r="7" s="1" customFormat="1" customHeight="1" spans="1:8">
      <c r="A7" s="12" t="s">
        <v>13</v>
      </c>
      <c r="B7" s="13">
        <v>11229225</v>
      </c>
      <c r="C7" s="14">
        <v>3212134</v>
      </c>
      <c r="D7" s="14">
        <v>502760</v>
      </c>
      <c r="E7" s="14">
        <v>6030745</v>
      </c>
      <c r="F7" s="14">
        <v>1482090</v>
      </c>
      <c r="G7" s="14">
        <v>1496</v>
      </c>
      <c r="H7" s="22">
        <v>0.099</v>
      </c>
    </row>
    <row r="8" s="1" customFormat="1" customHeight="1" spans="1:8">
      <c r="A8" s="12" t="s">
        <v>14</v>
      </c>
      <c r="B8" s="13">
        <v>11352200</v>
      </c>
      <c r="C8" s="14">
        <v>3274726</v>
      </c>
      <c r="D8" s="14">
        <v>511049</v>
      </c>
      <c r="E8" s="14">
        <v>6051513</v>
      </c>
      <c r="F8" s="14">
        <v>1513375</v>
      </c>
      <c r="G8" s="14">
        <v>1537</v>
      </c>
      <c r="H8" s="22">
        <v>0.1</v>
      </c>
    </row>
    <row r="9" s="1" customFormat="1" customHeight="1" spans="1:8">
      <c r="A9" s="12" t="s">
        <v>15</v>
      </c>
      <c r="B9" s="13">
        <v>11167381</v>
      </c>
      <c r="C9" s="14">
        <v>3192096</v>
      </c>
      <c r="D9" s="14">
        <v>501970</v>
      </c>
      <c r="E9" s="14">
        <v>5970049</v>
      </c>
      <c r="F9" s="14">
        <v>1501769</v>
      </c>
      <c r="G9" s="14">
        <v>1497</v>
      </c>
      <c r="H9" s="22">
        <v>0.099</v>
      </c>
    </row>
    <row r="10" s="1" customFormat="1" customHeight="1" spans="1:8">
      <c r="A10" s="12" t="s">
        <v>16</v>
      </c>
      <c r="B10" s="13">
        <v>11134523</v>
      </c>
      <c r="C10" s="14">
        <v>3172426</v>
      </c>
      <c r="D10" s="14">
        <v>498262</v>
      </c>
      <c r="E10" s="14">
        <v>5954328</v>
      </c>
      <c r="F10" s="14">
        <v>1508249</v>
      </c>
      <c r="G10" s="14">
        <v>1258</v>
      </c>
      <c r="H10" s="22">
        <v>0.098</v>
      </c>
    </row>
    <row r="11" s="1" customFormat="1" customHeight="1" spans="1:8">
      <c r="A11" s="12" t="s">
        <v>17</v>
      </c>
      <c r="B11" s="13">
        <v>11008175</v>
      </c>
      <c r="C11" s="14">
        <v>3172326</v>
      </c>
      <c r="D11" s="14">
        <v>491026</v>
      </c>
      <c r="E11" s="14">
        <v>5857682</v>
      </c>
      <c r="F11" s="14">
        <v>1486011</v>
      </c>
      <c r="G11" s="14">
        <v>1130</v>
      </c>
      <c r="H11" s="22">
        <v>0.097</v>
      </c>
    </row>
    <row r="12" s="1" customFormat="1" customHeight="1" spans="1:8">
      <c r="A12" s="12" t="s">
        <v>18</v>
      </c>
      <c r="B12" s="15">
        <v>10793290</v>
      </c>
      <c r="C12" s="14">
        <v>3059317</v>
      </c>
      <c r="D12" s="14">
        <v>491136</v>
      </c>
      <c r="E12" s="14">
        <v>5799828</v>
      </c>
      <c r="F12" s="14">
        <v>1442279</v>
      </c>
      <c r="G12" s="14">
        <v>730</v>
      </c>
      <c r="H12" s="22">
        <v>0.095</v>
      </c>
    </row>
    <row r="13" s="1" customFormat="1" customHeight="1" spans="1:8">
      <c r="A13" s="16" t="s">
        <v>19</v>
      </c>
      <c r="B13" s="17">
        <v>1718718</v>
      </c>
      <c r="C13" s="17">
        <v>469981</v>
      </c>
      <c r="D13" s="17">
        <v>74525</v>
      </c>
      <c r="E13" s="17">
        <v>957195</v>
      </c>
      <c r="F13" s="17">
        <v>216941</v>
      </c>
      <c r="G13" s="17">
        <v>76</v>
      </c>
      <c r="H13" s="23">
        <v>0.015</v>
      </c>
    </row>
    <row r="14" spans="1:1">
      <c r="A14" s="18"/>
    </row>
  </sheetData>
  <pageMargins left="0.78740157480315" right="0.78740157480315" top="0.78740157480315" bottom="0.78740157480315" header="0.78740157480315" footer="0.7874015748031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IMD Decile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obsidian</cp:lastModifiedBy>
  <dcterms:created xsi:type="dcterms:W3CDTF">2016-09-10T01:45:00Z</dcterms:created>
  <dcterms:modified xsi:type="dcterms:W3CDTF">2025-10-27T22:11:28Z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0x010100CE61D9DC7AFC6844B595FD0A55B75DF702004ABB65C679B61444B89056E828D58335</vt:lpwstr>
  </property>
  <property fmtid="{D5CDD505-2E9C-101B-9397-08002B2CF9AE}" pid="3" name="Order">
    <vt:r8>92600</vt:r8>
  </property>
  <property fmtid="{D5CDD505-2E9C-101B-9397-08002B2CF9AE}" pid="4" name="_dlc_DocIdItemGuid">
    <vt:lpwstr>d02c43b1-7aa3-42f5-bace-01af025d3bb2</vt:lpwstr>
  </property>
  <property fmtid="{D5CDD505-2E9C-101B-9397-08002B2CF9AE}" pid="5" name="_dlc_policyId">
    <vt:lpwstr>0x010100CE61D9DC7AFC6844B595FD0A55B75DF7|-2054357789</vt:lpwstr>
  </property>
  <property fmtid="{D5CDD505-2E9C-101B-9397-08002B2CF9AE}" pid="6" name="ItemRetentionFormula">
    <vt:lpwstr>&lt;formula id="Microsoft.Office.RecordsManagement.PolicyFeatures.Expiration.Formula.BuiltIn"&gt;&lt;number&gt;8&lt;/number&gt;&lt;property&gt;AuthoredDate&lt;/property&gt;&lt;propertyId&gt;78342c6d-8801-441d-a333-a9f070617aff&lt;/propertyId&gt;&lt;period&gt;years&lt;/period&gt;&lt;/formula&gt;</vt:lpwstr>
  </property>
  <property fmtid="{D5CDD505-2E9C-101B-9397-08002B2CF9AE}" pid="7" name="InformationType">
    <vt:lpwstr>14;#Document|6113f30c-7b54-4978-b917-a373efb61b62</vt:lpwstr>
  </property>
  <property fmtid="{D5CDD505-2E9C-101B-9397-08002B2CF9AE}" pid="8" name="PortfolioCode">
    <vt:lpwstr/>
  </property>
  <property fmtid="{D5CDD505-2E9C-101B-9397-08002B2CF9AE}" pid="9" name="ICV">
    <vt:lpwstr/>
  </property>
  <property fmtid="{D5CDD505-2E9C-101B-9397-08002B2CF9AE}" pid="10" name="KSOProductBuildVer">
    <vt:lpwstr>1033-11.1.0.11723</vt:lpwstr>
  </property>
</Properties>
</file>